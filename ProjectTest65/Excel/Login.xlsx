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345DBBCF-F7E5-4E55-AF2C-15F3DC506544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Logi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M6" i="1" s="1"/>
  <c r="L12" i="1"/>
  <c r="M12" i="1" s="1"/>
  <c r="M13" i="1"/>
  <c r="L13" i="1"/>
  <c r="M7" i="1"/>
  <c r="L7" i="1"/>
</calcChain>
</file>

<file path=xl/sharedStrings.xml><?xml version="1.0" encoding="utf-8"?>
<sst xmlns="http://schemas.openxmlformats.org/spreadsheetml/2006/main" count="83" uniqueCount="26">
  <si>
    <t>Execute</t>
  </si>
  <si>
    <t>Test Case</t>
  </si>
  <si>
    <t>Email</t>
  </si>
  <si>
    <t>Pssword</t>
  </si>
  <si>
    <t>Expected Result</t>
  </si>
  <si>
    <t>ActualResult</t>
  </si>
  <si>
    <t>Result</t>
  </si>
  <si>
    <t>Revise</t>
  </si>
  <si>
    <t>Y</t>
  </si>
  <si>
    <t>mju6204106317@mju.ac.th</t>
  </si>
  <si>
    <t>เข้าสู่ระบบสำเร็จ</t>
  </si>
  <si>
    <t>Pass</t>
  </si>
  <si>
    <t>Siraprapha005@mju.ac.th</t>
  </si>
  <si>
    <t>Email หรือ Passwordไม่ถูกต้อง กรุณาลองใหม่อีกครั้ง</t>
  </si>
  <si>
    <t>mju6204106317@gmail.com</t>
  </si>
  <si>
    <t>mju6204106317@holmail.com</t>
  </si>
  <si>
    <t>mju620410631@mju.ac.th</t>
  </si>
  <si>
    <t>mju62041063177@mju.ac.th</t>
  </si>
  <si>
    <t>mju6204106340@mju.ac.th</t>
  </si>
  <si>
    <t>ท่านยังไม่ได้รับการอนุมัติ</t>
  </si>
  <si>
    <t>กรุณากรอกข้อมูลอีเมล</t>
  </si>
  <si>
    <t>Please fill out this field.</t>
  </si>
  <si>
    <t>Fail</t>
  </si>
  <si>
    <t>กรุณากรอกรหัสผ่าน</t>
  </si>
  <si>
    <t>สรุปผลการทดสอบ</t>
  </si>
  <si>
    <t>คิดเป็น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</si>
</sst>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Aptos Narrow"/>
      <family val="2"/>
    </font>
    <font>
      <sz val="11"/>
      <color rgb="FFFF0000"/>
      <name val="Aptos Narrow"/>
      <family val="2"/>
    </font>
    <font>
      <u/>
      <sz val="11"/>
      <color rgb="FFFF0000"/>
      <name val="Aptos Narrow"/>
      <family val="2"/>
    </font>
    <font>
      <sz val="11"/>
      <color rgb="FFEE0000"/>
      <name val="Aptos Narrow"/>
      <family val="2"/>
    </font>
    <font>
      <sz val="11"/>
      <color rgb="FF006100"/>
      <name val="Calibri"/>
      <family val="2"/>
      <charset val="222"/>
      <scheme val="minor"/>
    </font>
    <font>
      <sz val="11"/>
      <color rgb="FF9C0006"/>
      <name val="Calibri"/>
      <family val="2"/>
      <charset val="22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E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1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</cellStyleXfs>
  <cellXfs count="27">
    <xf numFmtId="0" fontId="0" fillId="0" borderId="0" xfId="0" applyBorder="1"/>
    <xf numFmtId="0" fontId="1" fillId="5" borderId="1" xfId="3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" fillId="6" borderId="1" xfId="4" applyBorder="1" applyAlignment="1">
      <alignment horizontal="center" vertical="center"/>
    </xf>
    <xf numFmtId="0" fontId="1" fillId="5" borderId="1" xfId="3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3" fontId="2" fillId="7" borderId="2" xfId="0" applyNumberFormat="1" applyFont="1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3" fontId="2" fillId="0" borderId="2" xfId="0" applyNumberFormat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0" fillId="0" borderId="2" xfId="0" applyBorder="1" applyAlignment="1">
      <alignment vertical="center"/>
    </xf>
    <xf numFmtId="0" fontId="0" fillId="0" borderId="0" xfId="0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8" fillId="3" borderId="1" xfId="1" applyBorder="1" applyAlignment="1">
      <alignment vertical="center"/>
    </xf>
    <xf numFmtId="0" fontId="9" fillId="4" borderId="1" xfId="2" applyBorder="1" applyAlignment="1">
      <alignment vertical="center"/>
    </xf>
    <xf numFmtId="0" fontId="6" fillId="0" borderId="2" xfId="0" applyFont="1" applyBorder="1" applyAlignment="1">
      <alignment horizontal="left" vertical="center"/>
    </xf>
    <xf numFmtId="0" fontId="0" fillId="0" borderId="1" xfId="0" applyAlignment="1">
      <alignment vertical="center"/>
    </xf>
    <xf numFmtId="0" fontId="7" fillId="2" borderId="2" xfId="0" applyFont="1" applyFill="1" applyBorder="1" applyAlignment="1">
      <alignment horizontal="left" vertical="center"/>
    </xf>
    <xf numFmtId="3" fontId="7" fillId="0" borderId="2" xfId="0" applyNumberFormat="1" applyFont="1" applyBorder="1" applyAlignment="1">
      <alignment horizontal="left" vertical="center"/>
    </xf>
    <xf numFmtId="3" fontId="2" fillId="2" borderId="2" xfId="0" applyNumberFormat="1" applyFont="1" applyFill="1" applyBorder="1" applyAlignment="1">
      <alignment horizontal="left" vertical="center"/>
    </xf>
    <xf numFmtId="3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left" vertical="center"/>
    </xf>
    <xf numFmtId="3" fontId="0" fillId="0" borderId="0" xfId="0" applyNumberFormat="1" applyBorder="1" applyAlignment="1">
      <alignment horizontal="left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13"/>
  <sheetViews>
    <sheetView tabSelected="1" topLeftCell="F5" workbookViewId="0">
      <selection activeCell="E5" sqref="E5"/>
    </sheetView>
  </sheetViews>
  <sheetFormatPr defaultRowHeight="14.4"/>
  <cols>
    <col min="1" max="1" width="8.88671875" style="2" bestFit="1" customWidth="1"/>
    <col min="2" max="2" width="8.88671875" style="24" bestFit="1" customWidth="1"/>
    <col min="3" max="3" width="25.6640625" style="25" bestFit="1" customWidth="1"/>
    <col min="4" max="4" width="11.6640625" style="26" bestFit="1" customWidth="1"/>
    <col min="5" max="6" width="44.44140625" style="25" bestFit="1" customWidth="1"/>
    <col min="7" max="7" width="13.5546875" style="2" bestFit="1" customWidth="1"/>
    <col min="8" max="8" width="13.5546875" style="14" bestFit="1" customWidth="1"/>
    <col min="9" max="16384" width="8.88671875" style="14"/>
  </cols>
  <sheetData>
    <row r="1" spans="1:13" s="8" customFormat="1" ht="19.5" customHeight="1">
      <c r="A1" s="5" t="s">
        <v>0</v>
      </c>
      <c r="B1" s="7" t="s">
        <v>1</v>
      </c>
      <c r="C1" s="5" t="s">
        <v>2</v>
      </c>
      <c r="D1" s="7" t="s">
        <v>3</v>
      </c>
      <c r="E1" s="5" t="s">
        <v>4</v>
      </c>
      <c r="F1" s="5" t="s">
        <v>5</v>
      </c>
      <c r="G1" s="5" t="s">
        <v>6</v>
      </c>
      <c r="H1" s="5" t="s">
        <v>7</v>
      </c>
    </row>
    <row r="2" spans="1:13" ht="20.25" customHeight="1">
      <c r="A2" s="6" t="s">
        <v>8</v>
      </c>
      <c r="B2" s="9">
        <v>1</v>
      </c>
      <c r="C2" s="10" t="s">
        <v>9</v>
      </c>
      <c r="D2" s="11">
        <v>111111</v>
      </c>
      <c r="E2" s="12" t="s">
        <v>10</v>
      </c>
      <c r="F2" s="13" t="s">
        <v>10</v>
      </c>
      <c r="G2" s="6" t="s">
        <v>11</v>
      </c>
      <c r="H2" s="6" t="s">
        <v>11</v>
      </c>
    </row>
    <row r="3" spans="1:13" ht="20.25" customHeight="1">
      <c r="A3" s="6" t="s">
        <v>8</v>
      </c>
      <c r="B3" s="9">
        <v>2</v>
      </c>
      <c r="C3" s="15" t="s">
        <v>12</v>
      </c>
      <c r="D3" s="11">
        <v>111111</v>
      </c>
      <c r="E3" s="10" t="s">
        <v>13</v>
      </c>
      <c r="F3" s="13" t="s">
        <v>13</v>
      </c>
      <c r="G3" s="6" t="s">
        <v>11</v>
      </c>
      <c r="H3" s="6" t="s">
        <v>11</v>
      </c>
    </row>
    <row r="4" spans="1:13" ht="20.25" customHeight="1">
      <c r="A4" s="6" t="s">
        <v>8</v>
      </c>
      <c r="B4" s="9">
        <v>3</v>
      </c>
      <c r="C4" s="15" t="s">
        <v>14</v>
      </c>
      <c r="D4" s="11">
        <v>111111</v>
      </c>
      <c r="E4" s="10" t="s">
        <v>13</v>
      </c>
      <c r="F4" s="13" t="s">
        <v>13</v>
      </c>
      <c r="G4" s="6" t="s">
        <v>11</v>
      </c>
      <c r="H4" s="6" t="s">
        <v>11</v>
      </c>
      <c r="K4" s="3" t="s">
        <v>6</v>
      </c>
      <c r="L4" s="3"/>
      <c r="M4" s="3"/>
    </row>
    <row r="5" spans="1:13" ht="20.25" customHeight="1">
      <c r="A5" s="6" t="s">
        <v>8</v>
      </c>
      <c r="B5" s="9">
        <v>4</v>
      </c>
      <c r="C5" s="15" t="s">
        <v>15</v>
      </c>
      <c r="D5" s="11">
        <v>111111</v>
      </c>
      <c r="E5" s="10" t="s">
        <v>13</v>
      </c>
      <c r="F5" s="13" t="s">
        <v>13</v>
      </c>
      <c r="G5" s="6" t="s">
        <v>11</v>
      </c>
      <c r="H5" s="6" t="s">
        <v>11</v>
      </c>
      <c r="K5" s="4" t="s">
        <v>24</v>
      </c>
      <c r="L5" s="4"/>
      <c r="M5" s="1" t="s">
        <v>25</v>
      </c>
    </row>
    <row r="6" spans="1:13" ht="20.25" customHeight="1">
      <c r="A6" s="6" t="s">
        <v>8</v>
      </c>
      <c r="B6" s="9">
        <v>5</v>
      </c>
      <c r="C6" s="16" t="s">
        <v>16</v>
      </c>
      <c r="D6" s="11">
        <v>111111</v>
      </c>
      <c r="E6" s="10" t="s">
        <v>13</v>
      </c>
      <c r="F6" s="13" t="s">
        <v>13</v>
      </c>
      <c r="G6" s="6" t="s">
        <v>11</v>
      </c>
      <c r="H6" s="6" t="s">
        <v>11</v>
      </c>
      <c r="K6" s="17" t="s">
        <v>11</v>
      </c>
      <c r="L6" s="17">
        <f>COUNTIF(G:G,"Pass")</f>
        <v>9</v>
      </c>
      <c r="M6" s="17" t="str">
        <f>TEXT(L6/11,"0.00%")</f>
        <v>81.82%</v>
      </c>
    </row>
    <row r="7" spans="1:13" ht="20.25" customHeight="1">
      <c r="A7" s="6" t="s">
        <v>8</v>
      </c>
      <c r="B7" s="9">
        <v>6</v>
      </c>
      <c r="C7" s="16" t="s">
        <v>17</v>
      </c>
      <c r="D7" s="11">
        <v>111111</v>
      </c>
      <c r="E7" s="10" t="s">
        <v>13</v>
      </c>
      <c r="F7" s="13" t="s">
        <v>13</v>
      </c>
      <c r="G7" s="6" t="s">
        <v>11</v>
      </c>
      <c r="H7" s="6" t="s">
        <v>11</v>
      </c>
      <c r="K7" s="18" t="s">
        <v>22</v>
      </c>
      <c r="L7" s="18">
        <f>COUNTIF(G:G,"Fail")</f>
        <v>2</v>
      </c>
      <c r="M7" s="18" t="str">
        <f>TEXT(L7/11,"0.00%")</f>
        <v>18.18%</v>
      </c>
    </row>
    <row r="8" spans="1:13" ht="20.25" customHeight="1">
      <c r="A8" s="6" t="s">
        <v>8</v>
      </c>
      <c r="B8" s="9">
        <v>7</v>
      </c>
      <c r="C8" s="19" t="s">
        <v>18</v>
      </c>
      <c r="D8" s="11">
        <v>111111</v>
      </c>
      <c r="E8" s="10" t="s">
        <v>19</v>
      </c>
      <c r="F8" s="13" t="s">
        <v>19</v>
      </c>
      <c r="G8" s="6" t="s">
        <v>11</v>
      </c>
      <c r="H8" s="6" t="s">
        <v>11</v>
      </c>
      <c r="K8" s="20"/>
      <c r="L8" s="20"/>
      <c r="M8" s="20"/>
    </row>
    <row r="9" spans="1:13" ht="20.25" customHeight="1">
      <c r="A9" s="6" t="s">
        <v>8</v>
      </c>
      <c r="B9" s="9">
        <v>8</v>
      </c>
      <c r="C9" s="21"/>
      <c r="D9" s="11">
        <v>111111</v>
      </c>
      <c r="E9" s="10" t="s">
        <v>20</v>
      </c>
      <c r="F9" s="13" t="s">
        <v>21</v>
      </c>
      <c r="G9" s="6" t="s">
        <v>22</v>
      </c>
      <c r="H9" s="6" t="s">
        <v>22</v>
      </c>
      <c r="K9" s="20"/>
      <c r="L9" s="20"/>
      <c r="M9" s="20"/>
    </row>
    <row r="10" spans="1:13" ht="20.25" customHeight="1">
      <c r="A10" s="6" t="s">
        <v>8</v>
      </c>
      <c r="B10" s="9">
        <v>9</v>
      </c>
      <c r="C10" s="10" t="s">
        <v>9</v>
      </c>
      <c r="D10" s="11">
        <v>111111</v>
      </c>
      <c r="E10" s="10" t="s">
        <v>10</v>
      </c>
      <c r="F10" s="13" t="s">
        <v>10</v>
      </c>
      <c r="G10" s="6" t="s">
        <v>11</v>
      </c>
      <c r="H10" s="6" t="s">
        <v>11</v>
      </c>
      <c r="K10" s="3" t="s">
        <v>7</v>
      </c>
      <c r="L10" s="3"/>
      <c r="M10" s="3"/>
    </row>
    <row r="11" spans="1:13" ht="20.25" customHeight="1">
      <c r="A11" s="6" t="s">
        <v>8</v>
      </c>
      <c r="B11" s="9">
        <v>10</v>
      </c>
      <c r="C11" s="10" t="s">
        <v>9</v>
      </c>
      <c r="D11" s="22">
        <v>123456</v>
      </c>
      <c r="E11" s="10" t="s">
        <v>13</v>
      </c>
      <c r="F11" s="13" t="s">
        <v>13</v>
      </c>
      <c r="G11" s="6" t="s">
        <v>11</v>
      </c>
      <c r="H11" s="6" t="s">
        <v>11</v>
      </c>
      <c r="K11" s="4" t="s">
        <v>24</v>
      </c>
      <c r="L11" s="4"/>
      <c r="M11" s="1" t="s">
        <v>25</v>
      </c>
    </row>
    <row r="12" spans="1:13" ht="20.25" customHeight="1">
      <c r="A12" s="6" t="s">
        <v>8</v>
      </c>
      <c r="B12" s="9">
        <v>11</v>
      </c>
      <c r="C12" s="10" t="s">
        <v>9</v>
      </c>
      <c r="D12" s="23"/>
      <c r="E12" s="10" t="s">
        <v>23</v>
      </c>
      <c r="F12" s="13" t="s">
        <v>21</v>
      </c>
      <c r="G12" s="6" t="s">
        <v>22</v>
      </c>
      <c r="H12" s="6" t="s">
        <v>22</v>
      </c>
      <c r="K12" s="17" t="s">
        <v>11</v>
      </c>
      <c r="L12" s="17">
        <f>COUNTIF(H:H,"Pass")</f>
        <v>9</v>
      </c>
      <c r="M12" s="17" t="str">
        <f>TEXT(L12/11,"0.00%")</f>
        <v>81.82%</v>
      </c>
    </row>
    <row r="13" spans="1:13">
      <c r="K13" s="18" t="s">
        <v>22</v>
      </c>
      <c r="L13" s="18">
        <f>COUNTIF(H:H,"Fail")</f>
        <v>2</v>
      </c>
      <c r="M13" s="18" t="str">
        <f>TEXT(L13/11,"0.00%")</f>
        <v>18.18%</v>
      </c>
    </row>
  </sheetData>
  <mergeCells count="4">
    <mergeCell ref="K4:M4"/>
    <mergeCell ref="K5:L5"/>
    <mergeCell ref="K10:M10"/>
    <mergeCell ref="K11:L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Siraprapha thabut</cp:lastModifiedBy>
  <dcterms:created xsi:type="dcterms:W3CDTF">2025-11-14T08:10:52Z</dcterms:created>
  <dcterms:modified xsi:type="dcterms:W3CDTF">2026-01-26T02:38:45Z</dcterms:modified>
</cp:coreProperties>
</file>